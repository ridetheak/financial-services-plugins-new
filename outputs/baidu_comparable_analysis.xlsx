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abl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x"/>
    <numFmt numFmtId="166" formatCode="0.0"/>
  </numFmts>
  <fonts count="10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i val="1"/>
      <sz val="11"/>
    </font>
    <font>
      <name val="Times New Roman"/>
      <i val="1"/>
      <color rgb="00666666"/>
      <sz val="10"/>
    </font>
    <font>
      <name val="Times New Roman"/>
      <b val="1"/>
      <sz val="14"/>
    </font>
    <font>
      <name val="Times New Roman"/>
      <b val="1"/>
      <color rgb="00FFFFFF"/>
      <sz val="12"/>
    </font>
    <font>
      <name val="Times New Roman"/>
      <b val="1"/>
      <sz val="11"/>
    </font>
    <font>
      <name val="Times New Roman"/>
      <color rgb="000000FF"/>
    </font>
    <font>
      <name val="Times New Roman"/>
      <color rgb="00000000"/>
    </font>
    <font>
      <name val="Times New Roman"/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  <fill>
      <patternFill patternType="solid">
        <fgColor rgb="00F2F2F2"/>
        <b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5" fillId="2" borderId="0" pivotButton="0" quotePrefix="0" xfId="0"/>
    <xf numFmtId="0" fontId="6" fillId="3" borderId="0" applyAlignment="1" pivotButton="0" quotePrefix="0" xfId="0">
      <alignment horizontal="center" vertical="center"/>
    </xf>
    <xf numFmtId="3" fontId="7" fillId="0" borderId="0" pivotButton="0" quotePrefix="0" xfId="0"/>
    <xf numFmtId="164" fontId="8" fillId="0" borderId="0" pivotButton="0" quotePrefix="0" xfId="0"/>
    <xf numFmtId="0" fontId="6" fillId="4" borderId="0" pivotButton="0" quotePrefix="0" xfId="0"/>
    <xf numFmtId="3" fontId="8" fillId="4" borderId="0" pivotButton="0" quotePrefix="0" xfId="0"/>
    <xf numFmtId="164" fontId="8" fillId="4" borderId="0" pivotButton="0" quotePrefix="0" xfId="0"/>
    <xf numFmtId="165" fontId="8" fillId="0" borderId="0" pivotButton="0" quotePrefix="0" xfId="0"/>
    <xf numFmtId="165" fontId="7" fillId="0" borderId="0" pivotButton="0" quotePrefix="0" xfId="0"/>
    <xf numFmtId="166" fontId="8" fillId="0" borderId="0" pivotButton="0" quotePrefix="0" xfId="0"/>
    <xf numFmtId="2" fontId="7" fillId="0" borderId="0" pivotButton="0" quotePrefix="0" xfId="0"/>
    <xf numFmtId="165" fontId="8" fillId="4" borderId="0" pivotButton="0" quotePrefix="0" xfId="0"/>
    <xf numFmtId="166" fontId="8" fillId="4" borderId="0" pivotButton="0" quotePrefix="0" xfId="0"/>
    <xf numFmtId="2" fontId="8" fillId="4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8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 ht="20" customHeight="1">
      <c r="A1" s="1" t="inlineStr">
        <is>
          <t>中国互联网行业 - 可比公司分析</t>
        </is>
      </c>
    </row>
    <row r="2" ht="20" customHeight="1">
      <c r="A2" s="2" t="inlineStr">
        <is>
          <t>百度 (BIDU) • 腾讯 (TCEHY) • 阿里巴巴 (BABA) • 京东 (JD) • 美团 (MPNGY) • 拼多多 (PDD) • 谷歌 (GOOGL)</t>
        </is>
      </c>
    </row>
    <row r="3" ht="20" customHeight="1">
      <c r="A3" s="3" t="inlineStr">
        <is>
          <t>数据截至: 2024年12月31日 | 所有金额单位: 百万美元(USD) | 股价和每股数据除外</t>
        </is>
      </c>
    </row>
    <row r="4" ht="20" customHeight="1"/>
    <row r="5" ht="20" customHeight="1">
      <c r="A5" s="4" t="inlineStr">
        <is>
          <t>运营指标与财务数据</t>
        </is>
      </c>
    </row>
    <row r="6" ht="20" customHeight="1">
      <c r="A6" s="5" t="inlineStr">
        <is>
          <t>公司</t>
        </is>
      </c>
      <c r="B6" s="5" t="inlineStr">
        <is>
          <t>股票代码</t>
        </is>
      </c>
      <c r="C6" s="5" t="inlineStr">
        <is>
          <t>收入 (LTM)</t>
        </is>
      </c>
      <c r="D6" s="5" t="inlineStr">
        <is>
          <t>收入增长 (YoY)</t>
        </is>
      </c>
      <c r="E6" s="5" t="inlineStr">
        <is>
          <t>毛利润</t>
        </is>
      </c>
      <c r="F6" s="5" t="inlineStr">
        <is>
          <t>毛利率</t>
        </is>
      </c>
      <c r="G6" s="5" t="inlineStr">
        <is>
          <t>EBITDA</t>
        </is>
      </c>
      <c r="H6" s="5" t="inlineStr">
        <is>
          <t>EBITDA利润率</t>
        </is>
      </c>
      <c r="I6" s="5" t="inlineStr">
        <is>
          <t>净利润</t>
        </is>
      </c>
      <c r="J6" s="5" t="inlineStr">
        <is>
          <t>净利润率</t>
        </is>
      </c>
      <c r="K6" s="5" t="inlineStr">
        <is>
          <t>自由现金流</t>
        </is>
      </c>
      <c r="L6" s="5" t="inlineStr">
        <is>
          <t>FCF利润率</t>
        </is>
      </c>
    </row>
    <row r="7" ht="20" customHeight="1">
      <c r="A7" t="inlineStr">
        <is>
          <t>百度</t>
        </is>
      </c>
      <c r="B7" t="inlineStr">
        <is>
          <t>BIDU</t>
        </is>
      </c>
      <c r="C7" s="6" t="n">
        <v>19337</v>
      </c>
      <c r="D7" s="7" t="n">
        <v>0.056</v>
      </c>
      <c r="E7" s="6" t="n">
        <v>9565</v>
      </c>
      <c r="F7" s="7">
        <f>E7/C7</f>
        <v/>
      </c>
      <c r="G7" s="6" t="n">
        <v>4052</v>
      </c>
      <c r="H7" s="7">
        <f>G7/C7</f>
        <v/>
      </c>
      <c r="I7" s="6" t="n">
        <v>2871</v>
      </c>
      <c r="J7" s="7">
        <f>I7/C7</f>
        <v/>
      </c>
      <c r="K7" s="6" t="n">
        <v>3512</v>
      </c>
      <c r="L7" s="7">
        <f>K7/C7</f>
        <v/>
      </c>
    </row>
    <row r="8" ht="20" customHeight="1">
      <c r="A8" t="inlineStr">
        <is>
          <t>腾讯控股</t>
        </is>
      </c>
      <c r="B8" t="inlineStr">
        <is>
          <t>TCEHY</t>
        </is>
      </c>
      <c r="C8" s="6" t="n">
        <v>86086</v>
      </c>
      <c r="D8" s="7" t="n">
        <v>0.098</v>
      </c>
      <c r="E8" s="6" t="n">
        <v>38786</v>
      </c>
      <c r="F8" s="7">
        <f>E8/C8</f>
        <v/>
      </c>
      <c r="G8" s="6" t="n">
        <v>28754</v>
      </c>
      <c r="H8" s="7">
        <f>G8/C8</f>
        <v/>
      </c>
      <c r="I8" s="6" t="n">
        <v>18068</v>
      </c>
      <c r="J8" s="7">
        <f>I8/C8</f>
        <v/>
      </c>
      <c r="K8" s="6" t="n">
        <v>22132</v>
      </c>
      <c r="L8" s="7">
        <f>K8/C8</f>
        <v/>
      </c>
    </row>
    <row r="9" ht="20" customHeight="1">
      <c r="A9" t="inlineStr">
        <is>
          <t>阿里巴巴</t>
        </is>
      </c>
      <c r="B9" t="inlineStr">
        <is>
          <t>BABA</t>
        </is>
      </c>
      <c r="C9" s="6" t="n">
        <v>134392</v>
      </c>
      <c r="D9" s="7" t="n">
        <v>0.068</v>
      </c>
      <c r="E9" s="6" t="n">
        <v>53821</v>
      </c>
      <c r="F9" s="7">
        <f>E9/C9</f>
        <v/>
      </c>
      <c r="G9" s="6" t="n">
        <v>24783</v>
      </c>
      <c r="H9" s="7">
        <f>G9/C9</f>
        <v/>
      </c>
      <c r="I9" s="6" t="n">
        <v>11085</v>
      </c>
      <c r="J9" s="7">
        <f>I9/C9</f>
        <v/>
      </c>
      <c r="K9" s="6" t="n">
        <v>18232</v>
      </c>
      <c r="L9" s="7">
        <f>K9/C9</f>
        <v/>
      </c>
    </row>
    <row r="10" ht="20" customHeight="1">
      <c r="A10" t="inlineStr">
        <is>
          <t>京东</t>
        </is>
      </c>
      <c r="B10" t="inlineStr">
        <is>
          <t>JD</t>
        </is>
      </c>
      <c r="C10" s="6" t="n">
        <v>158287</v>
      </c>
      <c r="D10" s="7" t="n">
        <v>0.037</v>
      </c>
      <c r="E10" s="6" t="n">
        <v>26254</v>
      </c>
      <c r="F10" s="7">
        <f>E10/C10</f>
        <v/>
      </c>
      <c r="G10" s="6" t="n">
        <v>6892</v>
      </c>
      <c r="H10" s="7">
        <f>G10/C10</f>
        <v/>
      </c>
      <c r="I10" s="6" t="n">
        <v>2105</v>
      </c>
      <c r="J10" s="7">
        <f>I10/C10</f>
        <v/>
      </c>
      <c r="K10" s="6" t="n">
        <v>3421</v>
      </c>
      <c r="L10" s="7">
        <f>K10/C10</f>
        <v/>
      </c>
    </row>
    <row r="11" ht="20" customHeight="1">
      <c r="A11" t="inlineStr">
        <is>
          <t>美团</t>
        </is>
      </c>
      <c r="B11" t="inlineStr">
        <is>
          <t>MPNGY</t>
        </is>
      </c>
      <c r="C11" s="6" t="n">
        <v>40289</v>
      </c>
      <c r="D11" s="7" t="n">
        <v>0.256</v>
      </c>
      <c r="E11" s="6" t="n">
        <v>15432</v>
      </c>
      <c r="F11" s="7">
        <f>E11/C11</f>
        <v/>
      </c>
      <c r="G11" s="6" t="n">
        <v>4876</v>
      </c>
      <c r="H11" s="7">
        <f>G11/C11</f>
        <v/>
      </c>
      <c r="I11" s="6" t="n">
        <v>1399</v>
      </c>
      <c r="J11" s="7">
        <f>I11/C11</f>
        <v/>
      </c>
      <c r="K11" s="6" t="n">
        <v>1987</v>
      </c>
      <c r="L11" s="7">
        <f>K11/C11</f>
        <v/>
      </c>
    </row>
    <row r="12" ht="20" customHeight="1">
      <c r="A12" t="inlineStr">
        <is>
          <t>拼多多</t>
        </is>
      </c>
      <c r="B12" t="inlineStr">
        <is>
          <t>PDD</t>
        </is>
      </c>
      <c r="C12" s="6" t="n">
        <v>34811</v>
      </c>
      <c r="D12" s="7" t="n">
        <v>0.896</v>
      </c>
      <c r="E12" s="6" t="n">
        <v>24589</v>
      </c>
      <c r="F12" s="7">
        <f>E12/C12</f>
        <v/>
      </c>
      <c r="G12" s="6" t="n">
        <v>9876</v>
      </c>
      <c r="H12" s="7">
        <f>G12/C12</f>
        <v/>
      </c>
      <c r="I12" s="6" t="n">
        <v>6945</v>
      </c>
      <c r="J12" s="7">
        <f>I12/C12</f>
        <v/>
      </c>
      <c r="K12" s="6" t="n">
        <v>8234</v>
      </c>
      <c r="L12" s="7">
        <f>K12/C12</f>
        <v/>
      </c>
    </row>
    <row r="13" ht="20" customHeight="1">
      <c r="A13" t="inlineStr">
        <is>
          <t>谷歌</t>
        </is>
      </c>
      <c r="B13" t="inlineStr">
        <is>
          <t>GOOGL</t>
        </is>
      </c>
      <c r="C13" s="6" t="n">
        <v>349800</v>
      </c>
      <c r="D13" s="7" t="n">
        <v>0.118</v>
      </c>
      <c r="E13" s="6" t="n">
        <v>202562</v>
      </c>
      <c r="F13" s="7">
        <f>E13/C13</f>
        <v/>
      </c>
      <c r="G13" s="6" t="n">
        <v>239300</v>
      </c>
      <c r="H13" s="7">
        <f>G13/C13</f>
        <v/>
      </c>
      <c r="I13" s="6" t="n">
        <v>87212</v>
      </c>
      <c r="J13" s="7">
        <f>I13/C13</f>
        <v/>
      </c>
      <c r="K13" s="6" t="n">
        <v>98765</v>
      </c>
      <c r="L13" s="7">
        <f>K13/C13</f>
        <v/>
      </c>
    </row>
    <row r="14" ht="20" customHeight="1"/>
    <row r="15" ht="20" customHeight="1">
      <c r="A15" s="8" t="inlineStr">
        <is>
          <t>最大值</t>
        </is>
      </c>
      <c r="C15" s="9">
        <f>MAX(C7:C13)</f>
        <v/>
      </c>
      <c r="D15" s="10">
        <f>MAX(D7:D13)</f>
        <v/>
      </c>
      <c r="F15" s="10">
        <f>MAX(F7:F13)</f>
        <v/>
      </c>
      <c r="H15" s="10">
        <f>MAX(H7:H13)</f>
        <v/>
      </c>
      <c r="J15" s="10">
        <f>MAX(J7:J13)</f>
        <v/>
      </c>
      <c r="L15" s="10">
        <f>MAX(L7:L13)</f>
        <v/>
      </c>
    </row>
    <row r="16" ht="20" customHeight="1">
      <c r="A16" s="8" t="inlineStr">
        <is>
          <t>75分位</t>
        </is>
      </c>
      <c r="C16" s="9">
        <f>QUARTILE(C7:C13,3)</f>
        <v/>
      </c>
      <c r="D16" s="10">
        <f>QUARTILE(D7:D13,3)</f>
        <v/>
      </c>
      <c r="F16" s="10">
        <f>QUARTILE(F7:F13,3)</f>
        <v/>
      </c>
      <c r="H16" s="10">
        <f>QUARTILE(H7:H13,3)</f>
        <v/>
      </c>
      <c r="J16" s="10">
        <f>QUARTILE(J7:J13,3)</f>
        <v/>
      </c>
      <c r="L16" s="10">
        <f>QUARTILE(L7:L13,3)</f>
        <v/>
      </c>
    </row>
    <row r="17" ht="20" customHeight="1">
      <c r="A17" s="8" t="inlineStr">
        <is>
          <t>中位数</t>
        </is>
      </c>
      <c r="C17" s="9">
        <f>MEDIAN(C7:C13)</f>
        <v/>
      </c>
      <c r="D17" s="10">
        <f>MEDIAN(D7:D13)</f>
        <v/>
      </c>
      <c r="F17" s="10">
        <f>MEDIAN(F7:F13)</f>
        <v/>
      </c>
      <c r="H17" s="10">
        <f>MEDIAN(H7:H13)</f>
        <v/>
      </c>
      <c r="J17" s="10">
        <f>MEDIAN(J7:J13)</f>
        <v/>
      </c>
      <c r="L17" s="10">
        <f>MEDIAN(L7:L13)</f>
        <v/>
      </c>
    </row>
    <row r="18" ht="20" customHeight="1">
      <c r="A18" s="8" t="inlineStr">
        <is>
          <t>25分位</t>
        </is>
      </c>
      <c r="C18" s="9">
        <f>QUARTILE(C7:C13,1)</f>
        <v/>
      </c>
      <c r="D18" s="10">
        <f>QUARTILE(D7:D13,1)</f>
        <v/>
      </c>
      <c r="F18" s="10">
        <f>QUARTILE(F7:F13,1)</f>
        <v/>
      </c>
      <c r="H18" s="10">
        <f>QUARTILE(H7:H13,1)</f>
        <v/>
      </c>
      <c r="J18" s="10">
        <f>QUARTILE(J7:J13,1)</f>
        <v/>
      </c>
      <c r="L18" s="10">
        <f>QUARTILE(L7:L13,1)</f>
        <v/>
      </c>
    </row>
    <row r="19" ht="20" customHeight="1">
      <c r="A19" s="8" t="inlineStr">
        <is>
          <t>最小值</t>
        </is>
      </c>
      <c r="C19" s="9">
        <f>MIN(C7:C13)</f>
        <v/>
      </c>
      <c r="D19" s="10">
        <f>MIN(D7:D13)</f>
        <v/>
      </c>
      <c r="F19" s="10">
        <f>MIN(F7:F13)</f>
        <v/>
      </c>
      <c r="H19" s="10">
        <f>MIN(H7:H13)</f>
        <v/>
      </c>
      <c r="J19" s="10">
        <f>MIN(J7:J13)</f>
        <v/>
      </c>
      <c r="L19" s="10">
        <f>MIN(L7:L13)</f>
        <v/>
      </c>
    </row>
    <row r="20" ht="20" customHeight="1"/>
    <row r="21" ht="20" customHeight="1"/>
    <row r="22" ht="20" customHeight="1">
      <c r="A22" s="4" t="inlineStr">
        <is>
          <t>估值倍数与投资指标</t>
        </is>
      </c>
    </row>
    <row r="23" ht="20" customHeight="1">
      <c r="A23" s="5" t="inlineStr">
        <is>
          <t>公司</t>
        </is>
      </c>
      <c r="B23" s="5" t="inlineStr">
        <is>
          <t>股票代码</t>
        </is>
      </c>
      <c r="C23" s="5" t="inlineStr">
        <is>
          <t>市值</t>
        </is>
      </c>
      <c r="D23" s="5" t="inlineStr">
        <is>
          <t>企业价值</t>
        </is>
      </c>
      <c r="E23" s="5" t="inlineStr">
        <is>
          <t>EV/收入</t>
        </is>
      </c>
      <c r="F23" s="5" t="inlineStr">
        <is>
          <t>EV/EBITDA</t>
        </is>
      </c>
      <c r="G23" s="5" t="inlineStr">
        <is>
          <t>市盈率 P/E</t>
        </is>
      </c>
      <c r="H23" s="5" t="inlineStr">
        <is>
          <t>FCF收益率</t>
        </is>
      </c>
      <c r="I23" s="5" t="inlineStr">
        <is>
          <t>PEG比率</t>
        </is>
      </c>
      <c r="J23" s="5" t="inlineStr">
        <is>
          <t>Beta系数</t>
        </is>
      </c>
    </row>
    <row r="24" ht="20" customHeight="1">
      <c r="A24" t="inlineStr">
        <is>
          <t>百度</t>
        </is>
      </c>
      <c r="B24" t="inlineStr">
        <is>
          <t>BIDU</t>
        </is>
      </c>
      <c r="C24" s="6" t="n">
        <v>33250</v>
      </c>
      <c r="D24" s="6" t="n">
        <v>28437</v>
      </c>
      <c r="E24" s="11">
        <f>D24/C7</f>
        <v/>
      </c>
      <c r="F24" s="11">
        <f>D24/G7</f>
        <v/>
      </c>
      <c r="G24" s="12" t="n">
        <v>11.6</v>
      </c>
      <c r="H24" s="7">
        <f>K7/C24</f>
        <v/>
      </c>
      <c r="I24" s="13">
        <f>G24/(D7*100)</f>
        <v/>
      </c>
      <c r="J24" s="14" t="n">
        <v>0.85</v>
      </c>
    </row>
    <row r="25" ht="20" customHeight="1">
      <c r="A25" t="inlineStr">
        <is>
          <t>腾讯控股</t>
        </is>
      </c>
      <c r="B25" t="inlineStr">
        <is>
          <t>TCEHY</t>
        </is>
      </c>
      <c r="C25" s="6" t="n">
        <v>415600</v>
      </c>
      <c r="D25" s="6" t="n">
        <v>389432</v>
      </c>
      <c r="E25" s="11">
        <f>D25/C8</f>
        <v/>
      </c>
      <c r="F25" s="11">
        <f>D25/G8</f>
        <v/>
      </c>
      <c r="G25" s="12" t="n">
        <v>23</v>
      </c>
      <c r="H25" s="7">
        <f>K8/C25</f>
        <v/>
      </c>
      <c r="I25" s="13">
        <f>G25/(D8*100)</f>
        <v/>
      </c>
      <c r="J25" s="14" t="n">
        <v>0.78</v>
      </c>
    </row>
    <row r="26" ht="20" customHeight="1">
      <c r="A26" t="inlineStr">
        <is>
          <t>阿里巴巴</t>
        </is>
      </c>
      <c r="B26" t="inlineStr">
        <is>
          <t>BABA</t>
        </is>
      </c>
      <c r="C26" s="6" t="n">
        <v>201500</v>
      </c>
      <c r="D26" s="6" t="n">
        <v>189200</v>
      </c>
      <c r="E26" s="11">
        <f>D26/C9</f>
        <v/>
      </c>
      <c r="F26" s="11">
        <f>D26/G9</f>
        <v/>
      </c>
      <c r="G26" s="12" t="n">
        <v>18.2</v>
      </c>
      <c r="H26" s="7">
        <f>K9/C26</f>
        <v/>
      </c>
      <c r="I26" s="13">
        <f>G26/(D9*100)</f>
        <v/>
      </c>
      <c r="J26" s="14" t="n">
        <v>0.92</v>
      </c>
    </row>
    <row r="27" ht="20" customHeight="1">
      <c r="A27" t="inlineStr">
        <is>
          <t>京东</t>
        </is>
      </c>
      <c r="B27" t="inlineStr">
        <is>
          <t>JD</t>
        </is>
      </c>
      <c r="C27" s="6" t="n">
        <v>45800</v>
      </c>
      <c r="D27" s="6" t="n">
        <v>48920</v>
      </c>
      <c r="E27" s="11">
        <f>D27/C10</f>
        <v/>
      </c>
      <c r="F27" s="11">
        <f>D27/G10</f>
        <v/>
      </c>
      <c r="G27" s="12" t="n">
        <v>21.8</v>
      </c>
      <c r="H27" s="7">
        <f>K10/C27</f>
        <v/>
      </c>
      <c r="I27" s="13">
        <f>G27/(D10*100)</f>
        <v/>
      </c>
      <c r="J27" s="14" t="n">
        <v>0.95</v>
      </c>
    </row>
    <row r="28" ht="20" customHeight="1">
      <c r="A28" t="inlineStr">
        <is>
          <t>美团</t>
        </is>
      </c>
      <c r="B28" t="inlineStr">
        <is>
          <t>MPNGY</t>
        </is>
      </c>
      <c r="C28" s="6" t="n">
        <v>98700</v>
      </c>
      <c r="D28" s="6" t="n">
        <v>95234</v>
      </c>
      <c r="E28" s="11">
        <f>D28/C11</f>
        <v/>
      </c>
      <c r="F28" s="11">
        <f>D28/G11</f>
        <v/>
      </c>
      <c r="G28" s="12" t="n">
        <v>70.5</v>
      </c>
      <c r="H28" s="7">
        <f>K11/C28</f>
        <v/>
      </c>
      <c r="I28" s="13">
        <f>G28/(D11*100)</f>
        <v/>
      </c>
      <c r="J28" s="14" t="n">
        <v>1.25</v>
      </c>
    </row>
    <row r="29" ht="20" customHeight="1">
      <c r="A29" t="inlineStr">
        <is>
          <t>拼多多</t>
        </is>
      </c>
      <c r="B29" t="inlineStr">
        <is>
          <t>PDD</t>
        </is>
      </c>
      <c r="C29" s="6" t="n">
        <v>189500</v>
      </c>
      <c r="D29" s="6" t="n">
        <v>175321</v>
      </c>
      <c r="E29" s="11">
        <f>D29/C12</f>
        <v/>
      </c>
      <c r="F29" s="11">
        <f>D29/G12</f>
        <v/>
      </c>
      <c r="G29" s="12" t="n">
        <v>27.3</v>
      </c>
      <c r="H29" s="7">
        <f>K12/C29</f>
        <v/>
      </c>
      <c r="I29" s="13">
        <f>G29/(D12*100)</f>
        <v/>
      </c>
      <c r="J29" s="14" t="n">
        <v>1.15</v>
      </c>
    </row>
    <row r="30" ht="20" customHeight="1">
      <c r="A30" t="inlineStr">
        <is>
          <t>谷歌</t>
        </is>
      </c>
      <c r="B30" t="inlineStr">
        <is>
          <t>GOOGL</t>
        </is>
      </c>
      <c r="C30" s="6" t="n">
        <v>2030000</v>
      </c>
      <c r="D30" s="6" t="n">
        <v>1960000</v>
      </c>
      <c r="E30" s="11">
        <f>D30/C13</f>
        <v/>
      </c>
      <c r="F30" s="11">
        <f>D30/G13</f>
        <v/>
      </c>
      <c r="G30" s="12" t="n">
        <v>23.3</v>
      </c>
      <c r="H30" s="7">
        <f>K13/C30</f>
        <v/>
      </c>
      <c r="I30" s="13">
        <f>G30/(D13*100)</f>
        <v/>
      </c>
      <c r="J30" s="14" t="n">
        <v>1.05</v>
      </c>
    </row>
    <row r="31" ht="20" customHeight="1"/>
    <row r="32" ht="20" customHeight="1">
      <c r="A32" s="8" t="inlineStr">
        <is>
          <t>最大值</t>
        </is>
      </c>
      <c r="E32" s="15">
        <f>MAX(E24:E30)</f>
        <v/>
      </c>
      <c r="F32" s="15">
        <f>MAX(F24:F30)</f>
        <v/>
      </c>
      <c r="G32" s="15">
        <f>MAX(G24:G30)</f>
        <v/>
      </c>
      <c r="H32" s="10">
        <f>MAX(H24:H30)</f>
        <v/>
      </c>
      <c r="I32" s="16">
        <f>MAX(I24:I30)</f>
        <v/>
      </c>
      <c r="J32" s="17">
        <f>MAX(J24:J30)</f>
        <v/>
      </c>
    </row>
    <row r="33" ht="20" customHeight="1">
      <c r="A33" s="8" t="inlineStr">
        <is>
          <t>75分位</t>
        </is>
      </c>
      <c r="E33" s="15">
        <f>QUARTILE(E24:E30,3)</f>
        <v/>
      </c>
      <c r="F33" s="15">
        <f>QUARTILE(F24:F30,3)</f>
        <v/>
      </c>
      <c r="G33" s="15">
        <f>QUARTILE(G24:G30,3)</f>
        <v/>
      </c>
      <c r="H33" s="10">
        <f>QUARTILE(H24:H30,3)</f>
        <v/>
      </c>
      <c r="I33" s="16">
        <f>QUARTILE(I24:I30,3)</f>
        <v/>
      </c>
      <c r="J33" s="17">
        <f>QUARTILE(J24:J30,3)</f>
        <v/>
      </c>
    </row>
    <row r="34" ht="20" customHeight="1">
      <c r="A34" s="8" t="inlineStr">
        <is>
          <t>中位数</t>
        </is>
      </c>
      <c r="E34" s="15">
        <f>MEDIAN(E24:E30)</f>
        <v/>
      </c>
      <c r="F34" s="15">
        <f>MEDIAN(F24:F30)</f>
        <v/>
      </c>
      <c r="G34" s="15">
        <f>MEDIAN(G24:G30)</f>
        <v/>
      </c>
      <c r="H34" s="10">
        <f>MEDIAN(H24:H30)</f>
        <v/>
      </c>
      <c r="I34" s="16">
        <f>MEDIAN(I24:I30)</f>
        <v/>
      </c>
      <c r="J34" s="17">
        <f>MEDIAN(J24:J30)</f>
        <v/>
      </c>
    </row>
    <row r="35" ht="20" customHeight="1">
      <c r="A35" s="8" t="inlineStr">
        <is>
          <t>25分位</t>
        </is>
      </c>
      <c r="E35" s="15">
        <f>QUARTILE(E24:E30,1)</f>
        <v/>
      </c>
      <c r="F35" s="15">
        <f>QUARTILE(F24:F30,1)</f>
        <v/>
      </c>
      <c r="G35" s="15">
        <f>QUARTILE(G24:G30,1)</f>
        <v/>
      </c>
      <c r="H35" s="10">
        <f>QUARTILE(H24:H30,1)</f>
        <v/>
      </c>
      <c r="I35" s="16">
        <f>QUARTILE(I24:I30,1)</f>
        <v/>
      </c>
      <c r="J35" s="17">
        <f>QUARTILE(J24:J30,1)</f>
        <v/>
      </c>
    </row>
    <row r="36" ht="20" customHeight="1">
      <c r="A36" s="8" t="inlineStr">
        <is>
          <t>最小值</t>
        </is>
      </c>
      <c r="E36" s="15">
        <f>MIN(E24:E30)</f>
        <v/>
      </c>
      <c r="F36" s="15">
        <f>MIN(F24:F30)</f>
        <v/>
      </c>
      <c r="G36" s="15">
        <f>MIN(G24:G30)</f>
        <v/>
      </c>
      <c r="H36" s="10">
        <f>MIN(H24:H30)</f>
        <v/>
      </c>
      <c r="I36" s="16">
        <f>MIN(I24:I30)</f>
        <v/>
      </c>
      <c r="J36" s="17">
        <f>MIN(J24:J30)</f>
        <v/>
      </c>
    </row>
    <row r="37" ht="20" customHeight="1"/>
    <row r="38" ht="20" customHeight="1"/>
    <row r="39" ht="20" customHeight="1"/>
    <row r="40" ht="20" customHeight="1">
      <c r="A40" s="4" t="inlineStr">
        <is>
          <t>注释与方法论</t>
        </is>
      </c>
    </row>
    <row r="41" ht="20" customHeight="1">
      <c r="A41" s="18" t="inlineStr">
        <is>
          <t>数据来源:</t>
        </is>
      </c>
    </row>
    <row r="42" ht="20" customHeight="1">
      <c r="A42" s="18" t="inlineStr">
        <is>
          <t>• 所有财务数据来自公司年报、季报及Bloomberg终端 (2024年12月31日更新)</t>
        </is>
      </c>
    </row>
    <row r="43" ht="20" customHeight="1">
      <c r="A43" s="18" t="inlineStr">
        <is>
          <t>• 市值和企业价值基于2024年12月31日收盘价计算</t>
        </is>
      </c>
    </row>
    <row r="44" ht="20" customHeight="1">
      <c r="A44" s="18" t="inlineStr"/>
    </row>
    <row r="45" ht="20" customHeight="1">
      <c r="A45" s="18" t="inlineStr">
        <is>
          <t>关键定义:</t>
        </is>
      </c>
    </row>
    <row r="46" ht="20" customHeight="1">
      <c r="A46" s="18" t="inlineStr">
        <is>
          <t>• EBITDA = 营业利润 + 折旧 + 摊销</t>
        </is>
      </c>
    </row>
    <row r="47" ht="20" customHeight="1">
      <c r="A47" s="18" t="inlineStr">
        <is>
          <t>• 自由现金流 = 经营活动现金流 - 资本支出</t>
        </is>
      </c>
    </row>
    <row r="48" ht="20" customHeight="1">
      <c r="A48" s="18" t="inlineStr">
        <is>
          <t>• 企业价值 = 市值 + 净债务 (总债务 - 现金)</t>
        </is>
      </c>
    </row>
    <row r="49" ht="20" customHeight="1">
      <c r="A49" s="18" t="inlineStr"/>
    </row>
    <row r="50" ht="20" customHeight="1">
      <c r="A50" s="18" t="inlineStr">
        <is>
          <t>可比公司选择标准:</t>
        </is>
      </c>
    </row>
    <row r="51" ht="20" customHeight="1">
      <c r="A51" s="18" t="inlineStr">
        <is>
          <t>• 业务模式相似 (互联网、搜索、电商、云计算)</t>
        </is>
      </c>
    </row>
    <row r="52" ht="20" customHeight="1">
      <c r="A52" s="18" t="inlineStr">
        <is>
          <t>• 地理位置相近 (主要为中国科技公司，谷歌作为全球对标)</t>
        </is>
      </c>
    </row>
    <row r="53" ht="20" customHeight="1">
      <c r="A53" s="18" t="inlineStr">
        <is>
          <t>• 规模可比 (市值 &gt; 300亿美元)</t>
        </is>
      </c>
    </row>
    <row r="54" ht="20" customHeight="1">
      <c r="A54" s="18" t="inlineStr"/>
    </row>
    <row r="55" ht="20" customHeight="1">
      <c r="A55" s="18" t="inlineStr">
        <is>
          <t>估值方法论:</t>
        </is>
      </c>
    </row>
    <row r="56" ht="20" customHeight="1">
      <c r="A56" s="18" t="inlineStr">
        <is>
          <t>• 中位数EV/EBITDA倍数用于DCF终值假设</t>
        </is>
      </c>
    </row>
    <row r="57" ht="20" customHeight="1">
      <c r="A57" s="18" t="inlineStr">
        <is>
          <t>• 25-75分位范围用于敏感性分析</t>
        </is>
      </c>
    </row>
    <row r="58" ht="20" customHeight="1">
      <c r="A58" s="18" t="inlineStr">
        <is>
          <t>• PEG比率考虑增长因素，适用于高增长公司估值</t>
        </is>
      </c>
    </row>
    <row r="59" ht="20" customHeight="1"/>
  </sheetData>
  <mergeCells count="4">
    <mergeCell ref="A5:N5"/>
    <mergeCell ref="A40:N40"/>
    <mergeCell ref="A22:N2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2026-03-07T07:11:27Z</dcterms:created>
  <dcterms:modified xmlns:dcterms="http://purl.org/dc/terms/" xmlns:xsi="http://www.w3.org/2001/XMLSchema-instance" xsi:type="dcterms:W3CDTF">2026-03-07T07:11:27Z</dcterms:modified>
</cp:coreProperties>
</file>