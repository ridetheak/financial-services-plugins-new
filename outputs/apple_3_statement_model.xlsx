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color rgb="000000FF"/>
    </font>
    <font>
      <i val="1"/>
    </font>
    <font>
      <b val="1"/>
      <color rgb="00FFFFFF"/>
      <sz val="11"/>
    </font>
    <font>
      <color rgb="0000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苹果公司 (AAPL) - 财务模型假设</t>
        </is>
      </c>
    </row>
    <row r="3">
      <c r="A3" s="2" t="inlineStr">
        <is>
          <t>收入增长率 (%)</t>
        </is>
      </c>
    </row>
    <row r="4">
      <c r="A4" t="inlineStr">
        <is>
          <t>FY2020-FY2029</t>
        </is>
      </c>
      <c r="B4" t="inlineStr">
        <is>
          <t>增长率</t>
        </is>
      </c>
      <c r="G4" s="3" t="n">
        <v>0.05</v>
      </c>
      <c r="H4" s="3" t="n">
        <v>0.06</v>
      </c>
      <c r="I4" s="3" t="n">
        <v>0.07000000000000001</v>
      </c>
      <c r="J4" s="3" t="n">
        <v>0.06</v>
      </c>
      <c r="K4" s="3" t="n">
        <v>0.05</v>
      </c>
    </row>
    <row r="6">
      <c r="A6" s="2" t="inlineStr">
        <is>
          <t>利润率假设 (%)</t>
        </is>
      </c>
    </row>
    <row r="7">
      <c r="A7" t="inlineStr">
        <is>
          <t>毛利率</t>
        </is>
      </c>
      <c r="B7" s="3" t="n">
        <v>0.46</v>
      </c>
    </row>
    <row r="8">
      <c r="A8" t="inlineStr">
        <is>
          <t>研发费用率</t>
        </is>
      </c>
      <c r="B8" s="3" t="n">
        <v>0.07000000000000001</v>
      </c>
    </row>
    <row r="9">
      <c r="A9" t="inlineStr">
        <is>
          <t>销售及管理费用率</t>
        </is>
      </c>
      <c r="B9" s="3" t="n">
        <v>0.06</v>
      </c>
    </row>
    <row r="10">
      <c r="A10" t="inlineStr">
        <is>
          <t>有效税率</t>
        </is>
      </c>
      <c r="B10" s="3" t="n">
        <v>0.15</v>
      </c>
    </row>
    <row r="12">
      <c r="A12" s="2" t="inlineStr">
        <is>
          <t>营运资本假设 (天数)</t>
        </is>
      </c>
    </row>
    <row r="13">
      <c r="A13" t="inlineStr">
        <is>
          <t>应收账款周转天数 (DSO)</t>
        </is>
      </c>
      <c r="B13" s="4" t="n">
        <v>40</v>
      </c>
    </row>
    <row r="14">
      <c r="A14" t="inlineStr">
        <is>
          <t>存货周转天数 (DIO)</t>
        </is>
      </c>
      <c r="B14" s="4" t="n">
        <v>10</v>
      </c>
    </row>
    <row r="15">
      <c r="A15" t="inlineStr">
        <is>
          <t>应付账款周转天数 (DPO)</t>
        </is>
      </c>
      <c r="B15" s="4" t="n">
        <v>60</v>
      </c>
    </row>
    <row r="17">
      <c r="A17" s="2" t="inlineStr">
        <is>
          <t>其他假设</t>
        </is>
      </c>
    </row>
    <row r="18">
      <c r="A18" t="inlineStr">
        <is>
          <t>资本支出占收入比例</t>
        </is>
      </c>
      <c r="B18" s="3" t="n">
        <v>0.03</v>
      </c>
    </row>
    <row r="19">
      <c r="A19" t="inlineStr">
        <is>
          <t>折旧占资本支出比例</t>
        </is>
      </c>
      <c r="B19" s="3" t="n">
        <v>0.95</v>
      </c>
    </row>
    <row r="20">
      <c r="A20" t="inlineStr">
        <is>
          <t>股利支付率</t>
        </is>
      </c>
      <c r="B20" s="3" t="n">
        <v>0.15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苹果公司 (AAPL) - 利润表</t>
        </is>
      </c>
    </row>
    <row r="2">
      <c r="A2" s="5" t="inlineStr">
        <is>
          <t>单位: 百万美元</t>
        </is>
      </c>
    </row>
    <row r="4">
      <c r="A4" t="inlineStr"/>
      <c r="B4" s="6" t="inlineStr">
        <is>
          <t>FY2020A</t>
        </is>
      </c>
      <c r="C4" s="6" t="inlineStr">
        <is>
          <t>FY2021A</t>
        </is>
      </c>
      <c r="D4" s="6" t="inlineStr">
        <is>
          <t>FY2022A</t>
        </is>
      </c>
      <c r="E4" s="6" t="inlineStr">
        <is>
          <t>FY2023A</t>
        </is>
      </c>
      <c r="F4" s="6" t="inlineStr">
        <is>
          <t>FY2024A</t>
        </is>
      </c>
      <c r="G4" s="6" t="inlineStr">
        <is>
          <t>FY2025E</t>
        </is>
      </c>
      <c r="H4" s="6" t="inlineStr">
        <is>
          <t>FY2026E</t>
        </is>
      </c>
      <c r="I4" s="6" t="inlineStr">
        <is>
          <t>FY2027E</t>
        </is>
      </c>
      <c r="J4" s="6" t="inlineStr">
        <is>
          <t>FY2028E</t>
        </is>
      </c>
      <c r="K4" s="6" t="inlineStr">
        <is>
          <t>FY2029E</t>
        </is>
      </c>
    </row>
    <row r="5">
      <c r="A5" t="inlineStr">
        <is>
          <t>收入</t>
        </is>
      </c>
      <c r="B5" s="4" t="n">
        <v>274515</v>
      </c>
      <c r="C5" s="4" t="n">
        <v>365817</v>
      </c>
      <c r="D5" s="4" t="n">
        <v>394328</v>
      </c>
      <c r="E5" s="4" t="n">
        <v>383285</v>
      </c>
      <c r="F5" s="4" t="n">
        <v>383289</v>
      </c>
      <c r="G5" s="7">
        <f>F5*(1+Assumptions!G4)</f>
        <v/>
      </c>
      <c r="H5" s="7">
        <f>G5*(1+Assumptions!H4)</f>
        <v/>
      </c>
      <c r="I5" s="7">
        <f>H5*(1+Assumptions!I4)</f>
        <v/>
      </c>
      <c r="J5" s="7">
        <f>I5*(1+Assumptions!J4)</f>
        <v/>
      </c>
      <c r="K5" s="7">
        <f>J5*(1+Assumptions!K4)</f>
        <v/>
      </c>
    </row>
    <row r="6">
      <c r="A6" t="inlineStr">
        <is>
          <t>营业成本</t>
        </is>
      </c>
      <c r="B6" s="4" t="n">
        <v>169559</v>
      </c>
      <c r="C6" s="4" t="n">
        <v>212981</v>
      </c>
      <c r="D6" s="4" t="n">
        <v>223546</v>
      </c>
      <c r="E6" s="4" t="n">
        <v>214137</v>
      </c>
      <c r="F6" s="4" t="n">
        <v>210352</v>
      </c>
      <c r="G6" s="7">
        <f>G5*(1-Assumptions!$B$7)</f>
        <v/>
      </c>
      <c r="H6" s="7">
        <f>H5*(1-Assumptions!$B$7)</f>
        <v/>
      </c>
      <c r="I6" s="7">
        <f>I5*(1-Assumptions!$B$7)</f>
        <v/>
      </c>
      <c r="J6" s="7">
        <f>J5*(1-Assumptions!$B$7)</f>
        <v/>
      </c>
      <c r="K6" s="7">
        <f>K5*(1-Assumptions!$B$7)</f>
        <v/>
      </c>
    </row>
    <row r="7">
      <c r="A7" t="inlineStr">
        <is>
          <t>毛利润</t>
        </is>
      </c>
      <c r="B7">
        <f>B5-B6</f>
        <v/>
      </c>
      <c r="C7">
        <f>C5-C6</f>
        <v/>
      </c>
      <c r="D7">
        <f>D5-D6</f>
        <v/>
      </c>
      <c r="E7">
        <f>E5-E6</f>
        <v/>
      </c>
      <c r="F7">
        <f>F5-F6</f>
        <v/>
      </c>
      <c r="G7">
        <f>G5-G6</f>
        <v/>
      </c>
      <c r="H7">
        <f>H5-H6</f>
        <v/>
      </c>
      <c r="I7">
        <f>I5-I6</f>
        <v/>
      </c>
      <c r="J7">
        <f>J5-J6</f>
        <v/>
      </c>
      <c r="K7">
        <f>K5-K6</f>
        <v/>
      </c>
    </row>
    <row r="8">
      <c r="A8" t="inlineStr"/>
    </row>
    <row r="9">
      <c r="A9" t="inlineStr">
        <is>
          <t>研发费用</t>
        </is>
      </c>
      <c r="B9" s="4" t="n">
        <v>18752</v>
      </c>
      <c r="C9" s="4" t="n">
        <v>21914</v>
      </c>
      <c r="D9" s="4" t="n">
        <v>26251</v>
      </c>
      <c r="E9" s="4" t="n">
        <v>29915</v>
      </c>
      <c r="F9" s="4" t="n">
        <v>31370</v>
      </c>
      <c r="G9" s="7">
        <f>G5*Assumptions!$B$8</f>
        <v/>
      </c>
      <c r="H9" s="7">
        <f>H5*Assumptions!$B$8</f>
        <v/>
      </c>
      <c r="I9" s="7">
        <f>I5*Assumptions!$B$8</f>
        <v/>
      </c>
      <c r="J9" s="7">
        <f>J5*Assumptions!$B$8</f>
        <v/>
      </c>
      <c r="K9" s="7">
        <f>K5*Assumptions!$B$8</f>
        <v/>
      </c>
    </row>
    <row r="10">
      <c r="A10" t="inlineStr">
        <is>
          <t>销售及管理费用</t>
        </is>
      </c>
      <c r="B10" s="4" t="n">
        <v>19916</v>
      </c>
      <c r="C10" s="4" t="n">
        <v>21914</v>
      </c>
      <c r="D10" s="4" t="n">
        <v>25094</v>
      </c>
      <c r="E10" s="4" t="n">
        <v>24932</v>
      </c>
      <c r="F10" s="4" t="n">
        <v>26097</v>
      </c>
      <c r="G10" s="7">
        <f>G5*Assumptions!$B$9</f>
        <v/>
      </c>
      <c r="H10" s="7">
        <f>H5*Assumptions!$B$9</f>
        <v/>
      </c>
      <c r="I10" s="7">
        <f>I5*Assumptions!$B$9</f>
        <v/>
      </c>
      <c r="J10" s="7">
        <f>J5*Assumptions!$B$9</f>
        <v/>
      </c>
      <c r="K10" s="7">
        <f>K5*Assumptions!$B$9</f>
        <v/>
      </c>
    </row>
    <row r="11">
      <c r="A11" t="inlineStr">
        <is>
          <t>营业费用合计</t>
        </is>
      </c>
      <c r="B11">
        <f>B9+B10</f>
        <v/>
      </c>
      <c r="C11">
        <f>C9+C10</f>
        <v/>
      </c>
      <c r="D11">
        <f>D9+D10</f>
        <v/>
      </c>
      <c r="E11">
        <f>E9+E10</f>
        <v/>
      </c>
      <c r="F11">
        <f>F9+F10</f>
        <v/>
      </c>
      <c r="G11">
        <f>G9+G10</f>
        <v/>
      </c>
      <c r="H11">
        <f>H9+H10</f>
        <v/>
      </c>
      <c r="I11">
        <f>I9+I10</f>
        <v/>
      </c>
      <c r="J11">
        <f>J9+J10</f>
        <v/>
      </c>
      <c r="K11">
        <f>K9+K10</f>
        <v/>
      </c>
    </row>
    <row r="12">
      <c r="A12" t="inlineStr"/>
    </row>
    <row r="13">
      <c r="A13" t="inlineStr">
        <is>
          <t>营业利润</t>
        </is>
      </c>
      <c r="B13">
        <f>B7-B11</f>
        <v/>
      </c>
      <c r="C13">
        <f>C7-C11</f>
        <v/>
      </c>
      <c r="D13">
        <f>D7-D11</f>
        <v/>
      </c>
      <c r="E13">
        <f>E7-E11</f>
        <v/>
      </c>
      <c r="F13">
        <f>F7-F11</f>
        <v/>
      </c>
      <c r="G13">
        <f>G7-G11</f>
        <v/>
      </c>
      <c r="H13">
        <f>H7-H11</f>
        <v/>
      </c>
      <c r="I13">
        <f>I7-I11</f>
        <v/>
      </c>
      <c r="J13">
        <f>J7-J11</f>
        <v/>
      </c>
      <c r="K13">
        <f>K7-K11</f>
        <v/>
      </c>
    </row>
    <row r="14">
      <c r="A14" t="inlineStr"/>
    </row>
    <row r="15">
      <c r="A15" t="inlineStr">
        <is>
          <t>利息收入</t>
        </is>
      </c>
      <c r="B15" s="4" t="n">
        <v>2444</v>
      </c>
      <c r="C15" s="4" t="n">
        <v>3543</v>
      </c>
      <c r="D15" s="4" t="n">
        <v>3810</v>
      </c>
      <c r="E15" s="4" t="n">
        <v>3762</v>
      </c>
      <c r="F15" s="4" t="n">
        <v>3762</v>
      </c>
      <c r="G15">
        <f>F15</f>
        <v/>
      </c>
      <c r="H15">
        <f>G15</f>
        <v/>
      </c>
      <c r="I15">
        <f>H15</f>
        <v/>
      </c>
      <c r="J15">
        <f>I15</f>
        <v/>
      </c>
      <c r="K15">
        <f>J15</f>
        <v/>
      </c>
    </row>
    <row r="16">
      <c r="A16" t="inlineStr">
        <is>
          <t>利息费用</t>
        </is>
      </c>
      <c r="B16" s="4" t="n">
        <v>-2571</v>
      </c>
      <c r="C16" s="4" t="n">
        <v>-2645</v>
      </c>
      <c r="D16" s="4" t="n">
        <v>-2931</v>
      </c>
      <c r="E16" s="4" t="n">
        <v>-3933</v>
      </c>
      <c r="F16" s="4" t="n">
        <v>-3933</v>
      </c>
      <c r="G16">
        <f>F16</f>
        <v/>
      </c>
      <c r="H16">
        <f>G16</f>
        <v/>
      </c>
      <c r="I16">
        <f>H16</f>
        <v/>
      </c>
      <c r="J16">
        <f>I16</f>
        <v/>
      </c>
      <c r="K16">
        <f>J16</f>
        <v/>
      </c>
    </row>
    <row r="17">
      <c r="A17" t="inlineStr">
        <is>
          <t>其他收入/(费用)</t>
        </is>
      </c>
    </row>
    <row r="18">
      <c r="A18" t="inlineStr">
        <is>
          <t>税前利润</t>
        </is>
      </c>
      <c r="B18">
        <f>B13+B15+B16</f>
        <v/>
      </c>
      <c r="C18">
        <f>C13+C15+C16</f>
        <v/>
      </c>
      <c r="D18">
        <f>D13+D15+D16</f>
        <v/>
      </c>
      <c r="E18">
        <f>E13+E15+E16</f>
        <v/>
      </c>
      <c r="F18">
        <f>F13+F15+F16</f>
        <v/>
      </c>
      <c r="G18">
        <f>G13+G15+G16</f>
        <v/>
      </c>
      <c r="H18">
        <f>H13+H15+H16</f>
        <v/>
      </c>
      <c r="I18">
        <f>I13+I15+I16</f>
        <v/>
      </c>
      <c r="J18">
        <f>J13+J15+J16</f>
        <v/>
      </c>
      <c r="K18">
        <f>K13+K15+K16</f>
        <v/>
      </c>
    </row>
    <row r="19">
      <c r="A19" t="inlineStr"/>
    </row>
    <row r="20">
      <c r="A20" t="inlineStr">
        <is>
          <t>所得税费用</t>
        </is>
      </c>
      <c r="B20" s="7">
        <f>MAX(0,B18)*Assumptions!$B$10</f>
        <v/>
      </c>
      <c r="C20" s="7">
        <f>MAX(0,C18)*Assumptions!$B$10</f>
        <v/>
      </c>
      <c r="D20" s="7">
        <f>MAX(0,D18)*Assumptions!$B$10</f>
        <v/>
      </c>
      <c r="E20" s="7">
        <f>MAX(0,E18)*Assumptions!$B$10</f>
        <v/>
      </c>
      <c r="F20" s="7">
        <f>MAX(0,F18)*Assumptions!$B$10</f>
        <v/>
      </c>
      <c r="G20" s="7">
        <f>MAX(0,G18)*Assumptions!$B$10</f>
        <v/>
      </c>
      <c r="H20" s="7">
        <f>MAX(0,H18)*Assumptions!$B$10</f>
        <v/>
      </c>
      <c r="I20" s="7">
        <f>MAX(0,I18)*Assumptions!$B$10</f>
        <v/>
      </c>
      <c r="J20" s="7">
        <f>MAX(0,J18)*Assumptions!$B$10</f>
        <v/>
      </c>
      <c r="K20" s="7">
        <f>MAX(0,K18)*Assumptions!$B$10</f>
        <v/>
      </c>
    </row>
    <row r="21">
      <c r="A21" t="inlineStr">
        <is>
          <t>净利润</t>
        </is>
      </c>
      <c r="B21">
        <f>B18-B20</f>
        <v/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</row>
    <row r="22">
      <c r="A22" t="inlineStr"/>
    </row>
    <row r="23">
      <c r="A23" t="inlineStr">
        <is>
          <t>毛利率 (%)</t>
        </is>
      </c>
      <c r="B23" s="8">
        <f>B7/B5</f>
        <v/>
      </c>
      <c r="C23" s="8">
        <f>C7/C5</f>
        <v/>
      </c>
      <c r="D23" s="8">
        <f>D7/D5</f>
        <v/>
      </c>
      <c r="E23" s="8">
        <f>E7/E5</f>
        <v/>
      </c>
      <c r="F23" s="8">
        <f>F7/F5</f>
        <v/>
      </c>
      <c r="G23" s="8">
        <f>G7/G5</f>
        <v/>
      </c>
      <c r="H23" s="8">
        <f>H7/H5</f>
        <v/>
      </c>
      <c r="I23" s="8">
        <f>I7/I5</f>
        <v/>
      </c>
      <c r="J23" s="8">
        <f>J7/J5</f>
        <v/>
      </c>
      <c r="K23" s="8">
        <f>K7/K5</f>
        <v/>
      </c>
    </row>
    <row r="24">
      <c r="A24" t="inlineStr">
        <is>
          <t>营业利润率 (%)</t>
        </is>
      </c>
      <c r="B24" s="8">
        <f>B13/B5</f>
        <v/>
      </c>
      <c r="C24" s="8">
        <f>C13/C5</f>
        <v/>
      </c>
      <c r="D24" s="8">
        <f>D13/D5</f>
        <v/>
      </c>
      <c r="E24" s="8">
        <f>E13/E5</f>
        <v/>
      </c>
      <c r="F24" s="8">
        <f>F13/F5</f>
        <v/>
      </c>
      <c r="G24" s="8">
        <f>G13/G5</f>
        <v/>
      </c>
      <c r="H24" s="8">
        <f>H13/H5</f>
        <v/>
      </c>
      <c r="I24" s="8">
        <f>I13/I5</f>
        <v/>
      </c>
      <c r="J24" s="8">
        <f>J13/J5</f>
        <v/>
      </c>
      <c r="K24" s="8">
        <f>K13/K5</f>
        <v/>
      </c>
    </row>
    <row r="25">
      <c r="A25" t="inlineStr">
        <is>
          <t>净利润率 (%)</t>
        </is>
      </c>
      <c r="B25" s="8">
        <f>B21/B5</f>
        <v/>
      </c>
      <c r="C25" s="8">
        <f>C21/C5</f>
        <v/>
      </c>
      <c r="D25" s="8">
        <f>D21/D5</f>
        <v/>
      </c>
      <c r="E25" s="8">
        <f>E21/E5</f>
        <v/>
      </c>
      <c r="F25" s="8">
        <f>F21/F5</f>
        <v/>
      </c>
      <c r="G25" s="8">
        <f>G21/G5</f>
        <v/>
      </c>
      <c r="H25" s="8">
        <f>H21/H5</f>
        <v/>
      </c>
      <c r="I25" s="8">
        <f>I21/I5</f>
        <v/>
      </c>
      <c r="J25" s="8">
        <f>J21/J5</f>
        <v/>
      </c>
      <c r="K25" s="8">
        <f>K21/K5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苹果公司 (AAPL) - 资产负债表</t>
        </is>
      </c>
    </row>
    <row r="2">
      <c r="A2" s="5" t="inlineStr">
        <is>
          <t>单位: 百万美元</t>
        </is>
      </c>
    </row>
    <row r="4">
      <c r="A4" t="inlineStr"/>
      <c r="B4" s="6" t="inlineStr">
        <is>
          <t>FY2020A</t>
        </is>
      </c>
      <c r="C4" s="6" t="inlineStr">
        <is>
          <t>FY2021A</t>
        </is>
      </c>
      <c r="D4" s="6" t="inlineStr">
        <is>
          <t>FY2022A</t>
        </is>
      </c>
      <c r="E4" s="6" t="inlineStr">
        <is>
          <t>FY2023A</t>
        </is>
      </c>
      <c r="F4" s="6" t="inlineStr">
        <is>
          <t>FY2024A</t>
        </is>
      </c>
      <c r="G4" s="6" t="inlineStr">
        <is>
          <t>FY2025E</t>
        </is>
      </c>
      <c r="H4" s="6" t="inlineStr">
        <is>
          <t>FY2026E</t>
        </is>
      </c>
      <c r="I4" s="6" t="inlineStr">
        <is>
          <t>FY2027E</t>
        </is>
      </c>
      <c r="J4" s="6" t="inlineStr">
        <is>
          <t>FY2028E</t>
        </is>
      </c>
      <c r="K4" s="6" t="inlineStr">
        <is>
          <t>FY2029E</t>
        </is>
      </c>
    </row>
    <row r="5">
      <c r="A5" t="inlineStr">
        <is>
          <t>资产</t>
        </is>
      </c>
    </row>
    <row r="6">
      <c r="A6" t="inlineStr">
        <is>
          <t>流动资产</t>
        </is>
      </c>
    </row>
    <row r="7">
      <c r="A7" t="inlineStr">
        <is>
          <t xml:space="preserve">  现金及现金等价物</t>
        </is>
      </c>
      <c r="B7" s="4" t="n">
        <v>38016</v>
      </c>
      <c r="C7" s="4" t="n">
        <v>34940</v>
      </c>
      <c r="D7" s="4" t="n">
        <v>23646</v>
      </c>
      <c r="E7" s="4" t="n">
        <v>29965</v>
      </c>
      <c r="F7" s="4" t="n">
        <v>29965</v>
      </c>
      <c r="G7" s="9">
        <f>CF!G32</f>
        <v/>
      </c>
      <c r="H7" s="9">
        <f>CF!H32</f>
        <v/>
      </c>
      <c r="I7" s="9">
        <f>CF!I32</f>
        <v/>
      </c>
      <c r="J7" s="9">
        <f>CF!J32</f>
        <v/>
      </c>
      <c r="K7" s="9">
        <f>CF!K32</f>
        <v/>
      </c>
    </row>
    <row r="8">
      <c r="A8" t="inlineStr">
        <is>
          <t xml:space="preserve">  短期投资</t>
        </is>
      </c>
      <c r="B8" s="4" t="n">
        <v>37368</v>
      </c>
      <c r="C8" s="4" t="n">
        <v>27699</v>
      </c>
      <c r="D8" s="4" t="n">
        <v>24658</v>
      </c>
      <c r="E8" s="4" t="n">
        <v>31587</v>
      </c>
      <c r="F8" s="4" t="n">
        <v>29135</v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</row>
    <row r="9">
      <c r="A9" t="inlineStr">
        <is>
          <t xml:space="preserve">  应收账款净额</t>
        </is>
      </c>
      <c r="B9" s="4" t="n">
        <v>16158</v>
      </c>
      <c r="C9" s="4" t="n">
        <v>26278</v>
      </c>
      <c r="D9" s="4" t="n">
        <v>28297</v>
      </c>
      <c r="E9" s="4" t="n">
        <v>29508</v>
      </c>
      <c r="F9" s="4" t="n">
        <v>30550</v>
      </c>
      <c r="G9" s="7">
        <f>Assumptions!$B$13*(IS!G5/365)</f>
        <v/>
      </c>
      <c r="H9" s="7">
        <f>Assumptions!$B$13*(IS!H5/365)</f>
        <v/>
      </c>
      <c r="I9" s="7">
        <f>Assumptions!$B$13*(IS!I5/365)</f>
        <v/>
      </c>
      <c r="J9" s="7">
        <f>Assumptions!$B$13*(IS!J5/365)</f>
        <v/>
      </c>
      <c r="K9" s="7">
        <f>Assumptions!$B$13*(IS!K5/365)</f>
        <v/>
      </c>
    </row>
    <row r="10">
      <c r="A10" t="inlineStr">
        <is>
          <t xml:space="preserve">  存货</t>
        </is>
      </c>
      <c r="B10" s="4" t="n">
        <v>4061</v>
      </c>
      <c r="C10" s="4" t="n">
        <v>6580</v>
      </c>
      <c r="D10" s="4" t="n">
        <v>4946</v>
      </c>
      <c r="E10" s="4" t="n">
        <v>6331</v>
      </c>
      <c r="F10" s="4" t="n">
        <v>7200</v>
      </c>
      <c r="G10" s="7">
        <f>Assumptions!$B$14*(IS!G6/365)</f>
        <v/>
      </c>
      <c r="H10" s="7">
        <f>Assumptions!$B$14*(IS!H6/365)</f>
        <v/>
      </c>
      <c r="I10" s="7">
        <f>Assumptions!$B$14*(IS!I6/365)</f>
        <v/>
      </c>
      <c r="J10" s="7">
        <f>Assumptions!$B$14*(IS!J6/365)</f>
        <v/>
      </c>
      <c r="K10" s="7">
        <f>Assumptions!$B$14*(IS!K6/365)</f>
        <v/>
      </c>
    </row>
    <row r="11">
      <c r="A11" t="inlineStr">
        <is>
          <t xml:space="preserve">  其他流动资产</t>
        </is>
      </c>
      <c r="B11" s="4" t="n">
        <v>32688</v>
      </c>
      <c r="C11" s="4" t="n">
        <v>35677</v>
      </c>
      <c r="D11" s="4" t="n">
        <v>37479</v>
      </c>
      <c r="E11" s="4" t="n">
        <v>40388</v>
      </c>
      <c r="F11" s="4" t="n">
        <v>42411</v>
      </c>
      <c r="G11">
        <f>F11</f>
        <v/>
      </c>
      <c r="H11">
        <f>G11</f>
        <v/>
      </c>
      <c r="I11">
        <f>H11</f>
        <v/>
      </c>
      <c r="J11">
        <f>I11</f>
        <v/>
      </c>
      <c r="K11">
        <f>J11</f>
        <v/>
      </c>
    </row>
    <row r="12">
      <c r="A12" t="inlineStr">
        <is>
          <t>流动资产合计</t>
        </is>
      </c>
      <c r="B12">
        <f>SUM(B7:B11)</f>
        <v/>
      </c>
      <c r="C12">
        <f>SUM(C7:C11)</f>
        <v/>
      </c>
      <c r="D12">
        <f>SUM(D7:D11)</f>
        <v/>
      </c>
      <c r="E12">
        <f>SUM(E7:E11)</f>
        <v/>
      </c>
      <c r="F12">
        <f>SUM(F7:F11)</f>
        <v/>
      </c>
      <c r="G12">
        <f>SUM(G7:G11)</f>
        <v/>
      </c>
      <c r="H12">
        <f>SUM(H7:H11)</f>
        <v/>
      </c>
      <c r="I12">
        <f>SUM(I7:I11)</f>
        <v/>
      </c>
      <c r="J12">
        <f>SUM(J7:J11)</f>
        <v/>
      </c>
      <c r="K12">
        <f>SUM(K7:K11)</f>
        <v/>
      </c>
    </row>
    <row r="13">
      <c r="A13" t="inlineStr"/>
    </row>
    <row r="14">
      <c r="A14" t="inlineStr">
        <is>
          <t>非流动资产</t>
        </is>
      </c>
    </row>
    <row r="15">
      <c r="A15" t="inlineStr">
        <is>
          <t xml:space="preserve">  长期投资</t>
        </is>
      </c>
      <c r="B15" s="4" t="n">
        <v>100887</v>
      </c>
      <c r="C15" s="4" t="n">
        <v>127877</v>
      </c>
      <c r="D15" s="4" t="n">
        <v>120605</v>
      </c>
      <c r="E15" s="4" t="n">
        <v>100544</v>
      </c>
      <c r="F15" s="4" t="n">
        <v>94378</v>
      </c>
      <c r="G15">
        <f>F15</f>
        <v/>
      </c>
      <c r="H15">
        <f>G15</f>
        <v/>
      </c>
      <c r="I15">
        <f>H15</f>
        <v/>
      </c>
      <c r="J15">
        <f>I15</f>
        <v/>
      </c>
      <c r="K15">
        <f>J15</f>
        <v/>
      </c>
    </row>
    <row r="16">
      <c r="A16" t="inlineStr">
        <is>
          <t xml:space="preserve">  物业、厂房及设备净额</t>
        </is>
      </c>
      <c r="B16" s="4" t="n">
        <v>36539</v>
      </c>
      <c r="C16" s="4" t="n">
        <v>39440</v>
      </c>
      <c r="D16" s="4" t="n">
        <v>42117</v>
      </c>
      <c r="E16" s="4" t="n">
        <v>43715</v>
      </c>
      <c r="F16" s="4" t="n">
        <v>45357</v>
      </c>
      <c r="G16">
        <f>F16</f>
        <v/>
      </c>
      <c r="H16">
        <f>G16</f>
        <v/>
      </c>
      <c r="I16">
        <f>H16</f>
        <v/>
      </c>
      <c r="J16">
        <f>I16</f>
        <v/>
      </c>
      <c r="K16">
        <f>J16</f>
        <v/>
      </c>
    </row>
    <row r="17">
      <c r="A17" t="inlineStr">
        <is>
          <t xml:space="preserve">  无形资产净额</t>
        </is>
      </c>
    </row>
    <row r="18">
      <c r="A18" t="inlineStr">
        <is>
          <t xml:space="preserve">  其他非流动资产</t>
        </is>
      </c>
      <c r="B18" s="4" t="n">
        <v>22283</v>
      </c>
      <c r="C18" s="4" t="n">
        <v>27979</v>
      </c>
      <c r="D18" s="4" t="n">
        <v>32172</v>
      </c>
      <c r="E18" s="4" t="n">
        <v>36423</v>
      </c>
      <c r="F18" s="4" t="n">
        <v>41307</v>
      </c>
      <c r="G18">
        <f>F18</f>
        <v/>
      </c>
      <c r="H18">
        <f>G18</f>
        <v/>
      </c>
      <c r="I18">
        <f>H18</f>
        <v/>
      </c>
      <c r="J18">
        <f>I18</f>
        <v/>
      </c>
      <c r="K18">
        <f>J18</f>
        <v/>
      </c>
    </row>
    <row r="19">
      <c r="A19" t="inlineStr">
        <is>
          <t>非流动资产合计</t>
        </is>
      </c>
      <c r="B19">
        <f>SUM(B15:B18)</f>
        <v/>
      </c>
      <c r="C19">
        <f>SUM(C15:C18)</f>
        <v/>
      </c>
      <c r="D19">
        <f>SUM(D15:D18)</f>
        <v/>
      </c>
      <c r="E19">
        <f>SUM(E15:E18)</f>
        <v/>
      </c>
      <c r="F19">
        <f>SUM(F15:F18)</f>
        <v/>
      </c>
      <c r="G19">
        <f>SUM(G15:G18)</f>
        <v/>
      </c>
      <c r="H19">
        <f>SUM(H15:H18)</f>
        <v/>
      </c>
      <c r="I19">
        <f>SUM(I15:I18)</f>
        <v/>
      </c>
      <c r="J19">
        <f>SUM(J15:J18)</f>
        <v/>
      </c>
      <c r="K19">
        <f>SUM(K15:K18)</f>
        <v/>
      </c>
    </row>
    <row r="20">
      <c r="A20" t="inlineStr"/>
    </row>
    <row r="21">
      <c r="A21" t="inlineStr">
        <is>
          <t>资产总计</t>
        </is>
      </c>
      <c r="B21">
        <f>B12+B19</f>
        <v/>
      </c>
      <c r="C21">
        <f>C12+C19</f>
        <v/>
      </c>
      <c r="D21">
        <f>D12+D19</f>
        <v/>
      </c>
      <c r="E21">
        <f>E12+E19</f>
        <v/>
      </c>
      <c r="F21">
        <f>F12+F19</f>
        <v/>
      </c>
      <c r="G21">
        <f>G12+G19</f>
        <v/>
      </c>
      <c r="H21">
        <f>H12+H19</f>
        <v/>
      </c>
      <c r="I21">
        <f>I12+I19</f>
        <v/>
      </c>
      <c r="J21">
        <f>J12+J19</f>
        <v/>
      </c>
      <c r="K21">
        <f>K12+K19</f>
        <v/>
      </c>
    </row>
    <row r="22">
      <c r="A22" t="inlineStr"/>
    </row>
    <row r="23">
      <c r="A23" t="inlineStr">
        <is>
          <t>负债及股东权益</t>
        </is>
      </c>
    </row>
    <row r="24">
      <c r="A24" t="inlineStr">
        <is>
          <t>流动负债</t>
        </is>
      </c>
    </row>
    <row r="25">
      <c r="A25" t="inlineStr">
        <is>
          <t xml:space="preserve">  应付账款</t>
        </is>
      </c>
      <c r="B25" s="4" t="n">
        <v>16377</v>
      </c>
      <c r="C25" s="4" t="n">
        <v>53730</v>
      </c>
      <c r="D25" s="4" t="n">
        <v>60039</v>
      </c>
      <c r="E25" s="4" t="n">
        <v>62833</v>
      </c>
      <c r="F25" s="4" t="n">
        <v>65844</v>
      </c>
      <c r="G25" s="7">
        <f>Assumptions!$B$15*(IS!G6/365)</f>
        <v/>
      </c>
      <c r="H25" s="7">
        <f>Assumptions!$B$15*(IS!H6/365)</f>
        <v/>
      </c>
      <c r="I25" s="7">
        <f>Assumptions!$B$15*(IS!I6/365)</f>
        <v/>
      </c>
      <c r="J25" s="7">
        <f>Assumptions!$B$15*(IS!J6/365)</f>
        <v/>
      </c>
      <c r="K25" s="7">
        <f>Assumptions!$B$15*(IS!K6/365)</f>
        <v/>
      </c>
    </row>
    <row r="26">
      <c r="A26" t="inlineStr">
        <is>
          <t xml:space="preserve">  应计费用</t>
        </is>
      </c>
    </row>
    <row r="27">
      <c r="A27" t="inlineStr">
        <is>
          <t xml:space="preserve">  递延收入</t>
        </is>
      </c>
    </row>
    <row r="28">
      <c r="A28" t="inlineStr">
        <is>
          <t xml:space="preserve">  短期债务</t>
        </is>
      </c>
    </row>
    <row r="29">
      <c r="A29" t="inlineStr">
        <is>
          <t xml:space="preserve">  其他流动负债</t>
        </is>
      </c>
      <c r="B29" s="4" t="n">
        <v>42967</v>
      </c>
      <c r="C29" s="4" t="n">
        <v>47763</v>
      </c>
      <c r="D29" s="4" t="n">
        <v>59279</v>
      </c>
      <c r="E29" s="4" t="n">
        <v>64845</v>
      </c>
      <c r="F29" s="4" t="n">
        <v>69031</v>
      </c>
      <c r="G29">
        <f>F29</f>
        <v/>
      </c>
      <c r="H29">
        <f>G29</f>
        <v/>
      </c>
      <c r="I29">
        <f>H29</f>
        <v/>
      </c>
      <c r="J29">
        <f>I29</f>
        <v/>
      </c>
      <c r="K29">
        <f>J29</f>
        <v/>
      </c>
    </row>
    <row r="30">
      <c r="A30" t="inlineStr">
        <is>
          <t>流动负债合计</t>
        </is>
      </c>
      <c r="B30">
        <f>SUM(B25:B29)</f>
        <v/>
      </c>
      <c r="C30">
        <f>SUM(C25:C29)</f>
        <v/>
      </c>
      <c r="D30">
        <f>SUM(D25:D29)</f>
        <v/>
      </c>
      <c r="E30">
        <f>SUM(E25:E29)</f>
        <v/>
      </c>
      <c r="F30">
        <f>SUM(F25:F29)</f>
        <v/>
      </c>
      <c r="G30">
        <f>SUM(G25:G29)</f>
        <v/>
      </c>
      <c r="H30">
        <f>SUM(H25:H29)</f>
        <v/>
      </c>
      <c r="I30">
        <f>SUM(I25:I29)</f>
        <v/>
      </c>
      <c r="J30">
        <f>SUM(J25:J29)</f>
        <v/>
      </c>
      <c r="K30">
        <f>SUM(K25:K29)</f>
        <v/>
      </c>
    </row>
    <row r="31">
      <c r="A31" t="inlineStr"/>
    </row>
    <row r="32">
      <c r="A32" t="inlineStr">
        <is>
          <t>非流动负债</t>
        </is>
      </c>
    </row>
    <row r="33">
      <c r="A33" t="inlineStr">
        <is>
          <t xml:space="preserve">  长期债务</t>
        </is>
      </c>
      <c r="B33" s="4" t="n">
        <v>98661</v>
      </c>
      <c r="C33" s="4" t="n">
        <v>124719</v>
      </c>
      <c r="D33" s="4" t="n">
        <v>120069</v>
      </c>
      <c r="E33" s="4" t="n">
        <v>111088</v>
      </c>
      <c r="F33" s="4" t="n">
        <v>99028</v>
      </c>
      <c r="G33">
        <f>F33</f>
        <v/>
      </c>
      <c r="H33">
        <f>G33</f>
        <v/>
      </c>
      <c r="I33">
        <f>H33</f>
        <v/>
      </c>
      <c r="J33">
        <f>I33</f>
        <v/>
      </c>
      <c r="K33">
        <f>J33</f>
        <v/>
      </c>
    </row>
    <row r="34">
      <c r="A34" t="inlineStr">
        <is>
          <t xml:space="preserve">  递延所得税负债</t>
        </is>
      </c>
    </row>
    <row r="35">
      <c r="A35" t="inlineStr">
        <is>
          <t xml:space="preserve">  其他非流动负债</t>
        </is>
      </c>
    </row>
    <row r="36">
      <c r="A36" t="inlineStr">
        <is>
          <t>非流动负债合计</t>
        </is>
      </c>
      <c r="B36">
        <f>SUM(B33:B35)</f>
        <v/>
      </c>
      <c r="C36">
        <f>SUM(C33:C35)</f>
        <v/>
      </c>
      <c r="D36">
        <f>SUM(D33:D35)</f>
        <v/>
      </c>
      <c r="E36">
        <f>SUM(E33:E35)</f>
        <v/>
      </c>
      <c r="F36">
        <f>SUM(F33:F35)</f>
        <v/>
      </c>
      <c r="G36">
        <f>SUM(G33:G35)</f>
        <v/>
      </c>
      <c r="H36">
        <f>SUM(H33:H35)</f>
        <v/>
      </c>
      <c r="I36">
        <f>SUM(I33:I35)</f>
        <v/>
      </c>
      <c r="J36">
        <f>SUM(J33:J35)</f>
        <v/>
      </c>
      <c r="K36">
        <f>SUM(K33:K35)</f>
        <v/>
      </c>
    </row>
    <row r="37">
      <c r="A37" t="inlineStr"/>
    </row>
    <row r="38">
      <c r="A38" t="inlineStr">
        <is>
          <t>负债合计</t>
        </is>
      </c>
      <c r="B38">
        <f>B30+B36</f>
        <v/>
      </c>
      <c r="C38">
        <f>C30+C36</f>
        <v/>
      </c>
      <c r="D38">
        <f>D30+D36</f>
        <v/>
      </c>
      <c r="E38">
        <f>E30+E36</f>
        <v/>
      </c>
      <c r="F38">
        <f>F30+F36</f>
        <v/>
      </c>
      <c r="G38">
        <f>G30+G36</f>
        <v/>
      </c>
      <c r="H38">
        <f>H30+H36</f>
        <v/>
      </c>
      <c r="I38">
        <f>I30+I36</f>
        <v/>
      </c>
      <c r="J38">
        <f>J30+J36</f>
        <v/>
      </c>
      <c r="K38">
        <f>K30+K36</f>
        <v/>
      </c>
    </row>
    <row r="39">
      <c r="A39" t="inlineStr"/>
    </row>
    <row r="40">
      <c r="A40" t="inlineStr">
        <is>
          <t>股东权益</t>
        </is>
      </c>
    </row>
    <row r="41">
      <c r="A41" t="inlineStr">
        <is>
          <t xml:space="preserve">  普通股</t>
        </is>
      </c>
      <c r="B41" s="4" t="n">
        <v>50779</v>
      </c>
      <c r="C41" s="4" t="n">
        <v>57365</v>
      </c>
      <c r="D41" s="4" t="n">
        <v>64849</v>
      </c>
      <c r="E41" s="4" t="n">
        <v>73181</v>
      </c>
      <c r="F41" s="4" t="n">
        <v>83779</v>
      </c>
    </row>
    <row r="42">
      <c r="A42" t="inlineStr">
        <is>
          <t xml:space="preserve">  留存收益</t>
        </is>
      </c>
      <c r="B42" s="4" t="n">
        <v>14933</v>
      </c>
      <c r="C42" s="4" t="n">
        <v>15157</v>
      </c>
      <c r="D42" s="4" t="n">
        <v>-3068</v>
      </c>
      <c r="E42" s="4" t="n">
        <v>-14050</v>
      </c>
      <c r="F42" s="4" t="n">
        <v>-15545</v>
      </c>
    </row>
    <row r="43">
      <c r="A43" t="inlineStr">
        <is>
          <t xml:space="preserve">  累计其他综合收益</t>
        </is>
      </c>
    </row>
    <row r="44">
      <c r="A44" t="inlineStr">
        <is>
          <t>股东权益合计</t>
        </is>
      </c>
      <c r="B44">
        <f>SUM(B41:B43)</f>
        <v/>
      </c>
      <c r="C44">
        <f>SUM(C41:C43)</f>
        <v/>
      </c>
      <c r="D44">
        <f>SUM(D41:D43)</f>
        <v/>
      </c>
      <c r="E44">
        <f>SUM(E41:E43)</f>
        <v/>
      </c>
      <c r="F44">
        <f>SUM(F41:F43)</f>
        <v/>
      </c>
      <c r="G44">
        <f>SUM(G41:G43)</f>
        <v/>
      </c>
      <c r="H44">
        <f>SUM(H41:H43)</f>
        <v/>
      </c>
      <c r="I44">
        <f>SUM(I41:I43)</f>
        <v/>
      </c>
      <c r="J44">
        <f>SUM(J41:J43)</f>
        <v/>
      </c>
      <c r="K44">
        <f>SUM(K41:K43)</f>
        <v/>
      </c>
    </row>
    <row r="45">
      <c r="A45" t="inlineStr"/>
    </row>
    <row r="46">
      <c r="A46" t="inlineStr">
        <is>
          <t>负债及股东权益总计</t>
        </is>
      </c>
      <c r="B46">
        <f>B38+B44</f>
        <v/>
      </c>
      <c r="C46">
        <f>C38+C44</f>
        <v/>
      </c>
      <c r="D46">
        <f>D38+D44</f>
        <v/>
      </c>
      <c r="E46">
        <f>E38+E44</f>
        <v/>
      </c>
      <c r="F46">
        <f>F38+F44</f>
        <v/>
      </c>
      <c r="G46">
        <f>G38+G44</f>
        <v/>
      </c>
      <c r="H46">
        <f>H38+H44</f>
        <v/>
      </c>
      <c r="I46">
        <f>I38+I44</f>
        <v/>
      </c>
      <c r="J46">
        <f>J38+J44</f>
        <v/>
      </c>
      <c r="K46">
        <f>K38+K44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苹果公司 (AAPL) - 现金流量表</t>
        </is>
      </c>
    </row>
    <row r="2">
      <c r="A2" s="5" t="inlineStr">
        <is>
          <t>单位: 百万美元</t>
        </is>
      </c>
    </row>
    <row r="4">
      <c r="A4" t="inlineStr"/>
      <c r="B4" s="6" t="inlineStr">
        <is>
          <t>FY2020A</t>
        </is>
      </c>
      <c r="C4" s="6" t="inlineStr">
        <is>
          <t>FY2021A</t>
        </is>
      </c>
      <c r="D4" s="6" t="inlineStr">
        <is>
          <t>FY2022A</t>
        </is>
      </c>
      <c r="E4" s="6" t="inlineStr">
        <is>
          <t>FY2023A</t>
        </is>
      </c>
      <c r="F4" s="6" t="inlineStr">
        <is>
          <t>FY2024A</t>
        </is>
      </c>
      <c r="G4" s="6" t="inlineStr">
        <is>
          <t>FY2025E</t>
        </is>
      </c>
      <c r="H4" s="6" t="inlineStr">
        <is>
          <t>FY2026E</t>
        </is>
      </c>
      <c r="I4" s="6" t="inlineStr">
        <is>
          <t>FY2027E</t>
        </is>
      </c>
      <c r="J4" s="6" t="inlineStr">
        <is>
          <t>FY2028E</t>
        </is>
      </c>
      <c r="K4" s="6" t="inlineStr">
        <is>
          <t>FY2029E</t>
        </is>
      </c>
    </row>
    <row r="5">
      <c r="A5" t="inlineStr">
        <is>
          <t>经营活动现金流</t>
        </is>
      </c>
    </row>
    <row r="6">
      <c r="A6" t="inlineStr">
        <is>
          <t xml:space="preserve">  净利润</t>
        </is>
      </c>
      <c r="B6" s="9">
        <f>IS!B21</f>
        <v/>
      </c>
      <c r="C6" s="9">
        <f>IS!C21</f>
        <v/>
      </c>
      <c r="D6" s="9">
        <f>IS!D21</f>
        <v/>
      </c>
      <c r="E6" s="9">
        <f>IS!E21</f>
        <v/>
      </c>
      <c r="F6" s="9">
        <f>IS!F21</f>
        <v/>
      </c>
      <c r="G6" s="9">
        <f>IS!G21</f>
        <v/>
      </c>
      <c r="H6" s="9">
        <f>IS!H21</f>
        <v/>
      </c>
      <c r="I6" s="9">
        <f>IS!I21</f>
        <v/>
      </c>
      <c r="J6" s="9">
        <f>IS!J21</f>
        <v/>
      </c>
      <c r="K6" s="9">
        <f>IS!K21</f>
        <v/>
      </c>
    </row>
    <row r="7">
      <c r="A7" t="inlineStr">
        <is>
          <t xml:space="preserve">  折旧与摊销</t>
        </is>
      </c>
      <c r="B7" s="4" t="n">
        <v>11056</v>
      </c>
      <c r="C7" s="4" t="n">
        <v>11105</v>
      </c>
      <c r="D7" s="4" t="n">
        <v>11112</v>
      </c>
      <c r="E7" s="4" t="n">
        <v>11544</v>
      </c>
      <c r="F7" s="4" t="n">
        <v>11283</v>
      </c>
      <c r="G7">
        <f>F7</f>
        <v/>
      </c>
      <c r="H7">
        <f>G7</f>
        <v/>
      </c>
      <c r="I7">
        <f>H7</f>
        <v/>
      </c>
      <c r="J7">
        <f>I7</f>
        <v/>
      </c>
      <c r="K7">
        <f>J7</f>
        <v/>
      </c>
    </row>
    <row r="8">
      <c r="A8" t="inlineStr">
        <is>
          <t xml:space="preserve">  股权激励费用</t>
        </is>
      </c>
      <c r="B8" s="4" t="n">
        <v>6832</v>
      </c>
      <c r="C8" s="4" t="n">
        <v>9084</v>
      </c>
      <c r="D8" s="4" t="n">
        <v>9038</v>
      </c>
      <c r="E8" s="4" t="n">
        <v>10582</v>
      </c>
      <c r="F8" s="4" t="n">
        <v>11989</v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</row>
    <row r="9">
      <c r="A9" t="inlineStr">
        <is>
          <t xml:space="preserve">  营运资本变动</t>
        </is>
      </c>
    </row>
    <row r="10">
      <c r="A10" t="inlineStr">
        <is>
          <t xml:space="preserve">    应收账款变动</t>
        </is>
      </c>
      <c r="C10">
        <f>-(C9-B9)</f>
        <v/>
      </c>
      <c r="D10">
        <f>-(D9-C9)</f>
        <v/>
      </c>
      <c r="E10">
        <f>-(E9-D9)</f>
        <v/>
      </c>
      <c r="F10">
        <f>-(F9-E9)</f>
        <v/>
      </c>
      <c r="G10">
        <f>-(G9-F9)</f>
        <v/>
      </c>
      <c r="H10">
        <f>-(H9-G9)</f>
        <v/>
      </c>
      <c r="I10">
        <f>-(I9-H9)</f>
        <v/>
      </c>
      <c r="J10">
        <f>-(J9-I9)</f>
        <v/>
      </c>
      <c r="K10">
        <f>-(K9-J9)</f>
        <v/>
      </c>
    </row>
    <row r="11">
      <c r="A11" t="inlineStr">
        <is>
          <t xml:space="preserve">    存货变动</t>
        </is>
      </c>
      <c r="C11">
        <f>-(C10-B10)</f>
        <v/>
      </c>
      <c r="D11">
        <f>-(D10-C10)</f>
        <v/>
      </c>
      <c r="E11">
        <f>-(E10-D10)</f>
        <v/>
      </c>
      <c r="F11">
        <f>-(F10-E10)</f>
        <v/>
      </c>
      <c r="G11">
        <f>-(G10-F10)</f>
        <v/>
      </c>
      <c r="H11">
        <f>-(H10-G10)</f>
        <v/>
      </c>
      <c r="I11">
        <f>-(I10-H10)</f>
        <v/>
      </c>
      <c r="J11">
        <f>-(J10-I10)</f>
        <v/>
      </c>
      <c r="K11">
        <f>-(K10-J10)</f>
        <v/>
      </c>
    </row>
    <row r="12">
      <c r="A12" t="inlineStr">
        <is>
          <t xml:space="preserve">    应付账款变动</t>
        </is>
      </c>
      <c r="C12">
        <f>C25-B25</f>
        <v/>
      </c>
      <c r="D12">
        <f>D25-C25</f>
        <v/>
      </c>
      <c r="E12">
        <f>E25-D25</f>
        <v/>
      </c>
      <c r="F12">
        <f>F25-E25</f>
        <v/>
      </c>
      <c r="G12">
        <f>G25-F25</f>
        <v/>
      </c>
      <c r="H12">
        <f>H25-G25</f>
        <v/>
      </c>
      <c r="I12">
        <f>I25-H25</f>
        <v/>
      </c>
      <c r="J12">
        <f>J25-I25</f>
        <v/>
      </c>
      <c r="K12">
        <f>K25-J25</f>
        <v/>
      </c>
    </row>
    <row r="13">
      <c r="A13" t="inlineStr">
        <is>
          <t xml:space="preserve">  其他经营性项目变动</t>
        </is>
      </c>
      <c r="B13" s="4" t="n">
        <v>9722</v>
      </c>
      <c r="C13" s="4" t="n">
        <v>15908</v>
      </c>
      <c r="D13" s="4" t="n">
        <v>24724</v>
      </c>
      <c r="E13" s="4" t="n">
        <v>19200</v>
      </c>
      <c r="F13" s="4" t="n">
        <v>15620</v>
      </c>
      <c r="G13">
        <f>F13</f>
        <v/>
      </c>
      <c r="H13">
        <f>G13</f>
        <v/>
      </c>
      <c r="I13">
        <f>H13</f>
        <v/>
      </c>
      <c r="J13">
        <f>I13</f>
        <v/>
      </c>
      <c r="K13">
        <f>J13</f>
        <v/>
      </c>
    </row>
    <row r="14">
      <c r="A14" t="inlineStr">
        <is>
          <t>经营活动现金流合计</t>
        </is>
      </c>
      <c r="B14">
        <f>SUM(B6:B13)</f>
        <v/>
      </c>
      <c r="C14">
        <f>SUM(C6:C13)</f>
        <v/>
      </c>
      <c r="D14">
        <f>SUM(D6:D13)</f>
        <v/>
      </c>
      <c r="E14">
        <f>SUM(E6:E13)</f>
        <v/>
      </c>
      <c r="F14">
        <f>SUM(F6:F13)</f>
        <v/>
      </c>
      <c r="G14">
        <f>SUM(G6:G13)</f>
        <v/>
      </c>
      <c r="H14">
        <f>SUM(H6:H13)</f>
        <v/>
      </c>
      <c r="I14">
        <f>SUM(I6:I13)</f>
        <v/>
      </c>
      <c r="J14">
        <f>SUM(J6:J13)</f>
        <v/>
      </c>
      <c r="K14">
        <f>SUM(K6:K13)</f>
        <v/>
      </c>
    </row>
    <row r="15">
      <c r="A15" t="inlineStr"/>
    </row>
    <row r="16">
      <c r="A16" t="inlineStr">
        <is>
          <t>投资活动现金流</t>
        </is>
      </c>
    </row>
    <row r="17">
      <c r="A17" t="inlineStr">
        <is>
          <t xml:space="preserve">  资本支出</t>
        </is>
      </c>
      <c r="B17" s="4" t="n">
        <v>-7309</v>
      </c>
      <c r="C17" s="4" t="n">
        <v>-11085</v>
      </c>
      <c r="D17" s="4" t="n">
        <v>-10708</v>
      </c>
      <c r="E17" s="4" t="n">
        <v>-10959</v>
      </c>
      <c r="F17" s="4" t="n">
        <v>-9595</v>
      </c>
      <c r="G17" s="7">
        <f>-IS!G5*Assumptions!$B$21</f>
        <v/>
      </c>
      <c r="H17" s="7">
        <f>-IS!H5*Assumptions!$B$21</f>
        <v/>
      </c>
      <c r="I17" s="7">
        <f>-IS!I5*Assumptions!$B$21</f>
        <v/>
      </c>
      <c r="J17" s="7">
        <f>-IS!J5*Assumptions!$B$21</f>
        <v/>
      </c>
      <c r="K17" s="7">
        <f>-IS!K5*Assumptions!$B$21</f>
        <v/>
      </c>
    </row>
    <row r="18">
      <c r="A18" t="inlineStr">
        <is>
          <t xml:space="preserve">  收购支出</t>
        </is>
      </c>
    </row>
    <row r="19">
      <c r="A19" t="inlineStr">
        <is>
          <t xml:space="preserve">  投资购买/(出售)</t>
        </is>
      </c>
    </row>
    <row r="20">
      <c r="A20" t="inlineStr">
        <is>
          <t xml:space="preserve">  其他投资活动</t>
        </is>
      </c>
    </row>
    <row r="21">
      <c r="A21" t="inlineStr">
        <is>
          <t>投资活动现金流合计</t>
        </is>
      </c>
      <c r="B21">
        <f>SUM(B17:B20)</f>
        <v/>
      </c>
      <c r="C21">
        <f>SUM(C17:C20)</f>
        <v/>
      </c>
      <c r="D21">
        <f>SUM(D17:D20)</f>
        <v/>
      </c>
      <c r="E21">
        <f>SUM(E17:E20)</f>
        <v/>
      </c>
      <c r="F21">
        <f>SUM(F17:F20)</f>
        <v/>
      </c>
      <c r="G21">
        <f>SUM(G17:G20)</f>
        <v/>
      </c>
      <c r="H21">
        <f>SUM(H17:H20)</f>
        <v/>
      </c>
      <c r="I21">
        <f>SUM(I17:I20)</f>
        <v/>
      </c>
      <c r="J21">
        <f>SUM(J17:J20)</f>
        <v/>
      </c>
      <c r="K21">
        <f>SUM(K17:K20)</f>
        <v/>
      </c>
    </row>
    <row r="22">
      <c r="A22" t="inlineStr"/>
    </row>
    <row r="23">
      <c r="A23" t="inlineStr">
        <is>
          <t>筹资活动现金流</t>
        </is>
      </c>
    </row>
    <row r="24">
      <c r="A24" t="inlineStr">
        <is>
          <t xml:space="preserve">  债务发行(偿还)</t>
        </is>
      </c>
    </row>
    <row r="25">
      <c r="A25" t="inlineStr">
        <is>
          <t xml:space="preserve">  股权回购</t>
        </is>
      </c>
    </row>
    <row r="26">
      <c r="A26" t="inlineStr">
        <is>
          <t xml:space="preserve">  股利支付</t>
        </is>
      </c>
    </row>
    <row r="27">
      <c r="A27" t="inlineStr">
        <is>
          <t xml:space="preserve">  其他筹资活动</t>
        </is>
      </c>
    </row>
    <row r="28">
      <c r="A28" t="inlineStr">
        <is>
          <t>筹资活动现金流合计</t>
        </is>
      </c>
      <c r="B28">
        <f>SUM(B24:B27)</f>
        <v/>
      </c>
      <c r="C28">
        <f>SUM(C24:C27)</f>
        <v/>
      </c>
      <c r="D28">
        <f>SUM(D24:D27)</f>
        <v/>
      </c>
      <c r="E28">
        <f>SUM(E24:E27)</f>
        <v/>
      </c>
      <c r="F28">
        <f>SUM(F24:F27)</f>
        <v/>
      </c>
      <c r="G28">
        <f>SUM(G24:G27)</f>
        <v/>
      </c>
      <c r="H28">
        <f>SUM(H24:H27)</f>
        <v/>
      </c>
      <c r="I28">
        <f>SUM(I24:I27)</f>
        <v/>
      </c>
      <c r="J28">
        <f>SUM(J24:J27)</f>
        <v/>
      </c>
      <c r="K28">
        <f>SUM(K24:K27)</f>
        <v/>
      </c>
    </row>
    <row r="29">
      <c r="A29" t="inlineStr"/>
    </row>
    <row r="30">
      <c r="A30" t="inlineStr">
        <is>
          <t>现金变动净额</t>
        </is>
      </c>
      <c r="B30">
        <f>B14+B21+B28</f>
        <v/>
      </c>
      <c r="C30">
        <f>C14+C21+C28</f>
        <v/>
      </c>
      <c r="D30">
        <f>D14+D21+D28</f>
        <v/>
      </c>
      <c r="E30">
        <f>E14+E21+E28</f>
        <v/>
      </c>
      <c r="F30">
        <f>F14+F21+F28</f>
        <v/>
      </c>
      <c r="G30">
        <f>G14+G21+G28</f>
        <v/>
      </c>
      <c r="H30">
        <f>H14+H21+H28</f>
        <v/>
      </c>
      <c r="I30">
        <f>I14+I21+I28</f>
        <v/>
      </c>
      <c r="J30">
        <f>J14+J21+J28</f>
        <v/>
      </c>
      <c r="K30">
        <f>K14+K21+K28</f>
        <v/>
      </c>
    </row>
    <row r="31">
      <c r="A31" t="inlineStr">
        <is>
          <t xml:space="preserve">  期初现金余额</t>
        </is>
      </c>
      <c r="B31" s="4" t="n">
        <v>38016</v>
      </c>
      <c r="C31">
        <f>B32</f>
        <v/>
      </c>
      <c r="D31">
        <f>C32</f>
        <v/>
      </c>
      <c r="E31">
        <f>D32</f>
        <v/>
      </c>
      <c r="F31">
        <f>E32</f>
        <v/>
      </c>
      <c r="G31">
        <f>F32</f>
        <v/>
      </c>
      <c r="H31">
        <f>G32</f>
        <v/>
      </c>
      <c r="I31">
        <f>H32</f>
        <v/>
      </c>
      <c r="J31">
        <f>I32</f>
        <v/>
      </c>
      <c r="K31">
        <f>J32</f>
        <v/>
      </c>
    </row>
    <row r="32">
      <c r="A32" t="inlineStr">
        <is>
          <t xml:space="preserve">  期末现金余额</t>
        </is>
      </c>
      <c r="B32">
        <f>B30+B31</f>
        <v/>
      </c>
      <c r="C32">
        <f>C30+C31</f>
        <v/>
      </c>
      <c r="D32">
        <f>D30+D31</f>
        <v/>
      </c>
      <c r="E32">
        <f>E30+E31</f>
        <v/>
      </c>
      <c r="F32">
        <f>F30+F31</f>
        <v/>
      </c>
      <c r="G32">
        <f>G30+G31</f>
        <v/>
      </c>
      <c r="H32">
        <f>H30+H31</f>
        <v/>
      </c>
      <c r="I32">
        <f>I30+I31</f>
        <v/>
      </c>
      <c r="J32">
        <f>J30+J31</f>
        <v/>
      </c>
      <c r="K32">
        <f>K30+K31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40" customWidth="1" min="4" max="4"/>
  </cols>
  <sheetData>
    <row r="1">
      <c r="A1" s="1" t="inlineStr">
        <is>
          <t>模型验证检查</t>
        </is>
      </c>
    </row>
    <row r="3">
      <c r="A3" s="10" t="inlineStr">
        <is>
          <t>检查项目</t>
        </is>
      </c>
      <c r="B3" s="10" t="inlineStr">
        <is>
          <t>FY2024A</t>
        </is>
      </c>
      <c r="C3" s="10" t="inlineStr">
        <is>
          <t>状态</t>
        </is>
      </c>
      <c r="D3" s="10" t="inlineStr">
        <is>
          <t>说明</t>
        </is>
      </c>
    </row>
    <row r="4">
      <c r="A4" t="inlineStr">
        <is>
          <t>资产负债表平衡</t>
        </is>
      </c>
      <c r="B4">
        <f>BS!F21-BS!F46</f>
        <v/>
      </c>
      <c r="C4">
        <f>IF(ABS(B4)&lt;1,"✓ 通过","✗ 失败")</f>
        <v/>
      </c>
      <c r="D4" t="inlineStr">
        <is>
          <t>资产总计 = 负债及股东权益总计</t>
        </is>
      </c>
    </row>
    <row r="5">
      <c r="A5" t="inlineStr">
        <is>
          <t>现金验证</t>
        </is>
      </c>
      <c r="B5">
        <f>CF!F32-BS!F7</f>
        <v/>
      </c>
      <c r="C5">
        <f>IF(ABS(B5)&lt;1,"✓ 通过","✗ 失败")</f>
        <v/>
      </c>
      <c r="D5" t="inlineStr">
        <is>
          <t>现金流期末现金 = 资产负债表现金</t>
        </is>
      </c>
    </row>
    <row r="6">
      <c r="A6" t="inlineStr">
        <is>
          <t>净利润链接</t>
        </is>
      </c>
      <c r="B6">
        <f>IS!F21-CF!F6</f>
        <v/>
      </c>
      <c r="C6">
        <f>IF(ABS(B6)&lt;1,"✓ 通过","✗ 失败")</f>
        <v/>
      </c>
      <c r="D6" t="inlineStr">
        <is>
          <t>利润表净利润 = 现金流净利润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2026-03-07T06:49:27Z</dcterms:created>
  <dcterms:modified xmlns:dcterms="http://purl.org/dc/terms/" xmlns:xsi="http://www.w3.org/2001/XMLSchema-instance" xsi:type="dcterms:W3CDTF">2026-03-07T06:49:27Z</dcterms:modified>
</cp:coreProperties>
</file>